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ZYQJ9/Downloads/"/>
    </mc:Choice>
  </mc:AlternateContent>
  <xr:revisionPtr revIDLastSave="0" documentId="13_ncr:1_{F03CFF4E-3159-EC46-AEF8-14BA8A97ED03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F35" i="1" s="1" a="1"/>
  <c r="F35" i="1" s="1"/>
  <c r="E34" i="1"/>
  <c r="F34" i="1" s="1" a="1"/>
  <c r="F34" i="1" s="1"/>
  <c r="E33" i="1"/>
  <c r="F33" i="1" s="1" a="1"/>
  <c r="F33" i="1" s="1"/>
  <c r="E32" i="1"/>
  <c r="F32" i="1" s="1" a="1"/>
  <c r="F32" i="1" s="1"/>
  <c r="E31" i="1"/>
  <c r="F31" i="1" s="1" a="1"/>
  <c r="F31" i="1" s="1"/>
  <c r="E30" i="1"/>
  <c r="F30" i="1" s="1" a="1"/>
  <c r="F30" i="1" s="1"/>
  <c r="E29" i="1"/>
  <c r="E28" i="1"/>
  <c r="F28" i="1" s="1" a="1"/>
  <c r="F28" i="1" s="1"/>
  <c r="E27" i="1"/>
  <c r="E26" i="1"/>
  <c r="F27" i="1" l="1" a="1"/>
  <c r="F27" i="1" s="1"/>
  <c r="F29" i="1" a="1"/>
  <c r="F29" i="1" s="1"/>
  <c r="F26" i="1" a="1"/>
  <c r="F26" i="1" s="1"/>
  <c r="J30" i="1"/>
  <c r="J31" i="1" s="1"/>
  <c r="J26" i="1" l="1"/>
  <c r="J27" i="1" s="1"/>
  <c r="J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<sst xmlns="http://schemas.openxmlformats.org/spreadsheetml/2006/main" count="49" uniqueCount="28">
  <si>
    <t>Metric</t>
  </si>
  <si>
    <t>n_m (Samples)</t>
  </si>
  <si>
    <t>k_m (Failures)</t>
  </si>
  <si>
    <t>Stress (z)</t>
  </si>
  <si>
    <t>$m_1$ (Reasoning)</t>
  </si>
  <si>
    <t>$m_2$ (Reasoning)</t>
  </si>
  <si>
    <t>$m_3$ (Robustness)</t>
  </si>
  <si>
    <t>$m_4$ (Robustness)</t>
  </si>
  <si>
    <t>$m_5$ (Knowledge)</t>
  </si>
  <si>
    <t>$m_6$ (Knowledge)</t>
  </si>
  <si>
    <t>$m_7$ (Safety)</t>
  </si>
  <si>
    <t>$m_8$ (Safety)</t>
  </si>
  <si>
    <t>$m_9$ (Ethics)</t>
  </si>
  <si>
    <t>$m_{10}$ (Ethics)</t>
  </si>
  <si>
    <t>Safety Threshold (tau)</t>
  </si>
  <si>
    <t>Stress Sensitivity (gamma)</t>
  </si>
  <si>
    <t>Blind Spot (theta_b)</t>
  </si>
  <si>
    <t>Raw Rate</t>
  </si>
  <si>
    <t>De-biased Risk (theta_c)</t>
  </si>
  <si>
    <t>Inferred Covered Risk (Avg theta_c)</t>
  </si>
  <si>
    <t>TOTAL DEPLOYMENT RISK (theta_d)</t>
  </si>
  <si>
    <t>DEPLOYMENT DECISION</t>
  </si>
  <si>
    <t>Industry Baseline (Simple Mean)</t>
  </si>
  <si>
    <t>Posterior</t>
  </si>
  <si>
    <t>priot</t>
  </si>
  <si>
    <t>Posterior Mean</t>
  </si>
  <si>
    <t>Prior hyperparameter</t>
  </si>
  <si>
    <t>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</si>
</sst>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0" fillId="5" borderId="0" xfId="0" applyFill="1"/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0" fillId="6" borderId="0" xfId="0" applyFill="1"/>
    <xf numFmtId="0" fontId="1" fillId="6" borderId="1" xfId="0" applyFont="1" applyFill="1" applyBorder="1"/>
    <xf numFmtId="0" fontId="1" fillId="6" borderId="0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  <xf numFmtId="0" fontId="0" fillId="8" borderId="0" xfId="0" applyFill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573550</xdr:colOff>
      <xdr:row>1</xdr:row>
      <xdr:rowOff>27311</xdr:rowOff>
    </xdr:from>
    <xdr:to>
      <xdr:col>8</xdr:col>
      <xdr:colOff>669141</xdr:colOff>
      <xdr:row>17</xdr:row>
      <xdr:rowOff>81935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385040-48C4-8C93-5C81-2EE8924FC65B}"/>
            </a:ext>
          </a:extLst>
        </xdr:cNvPr>
        <xdr:cNvSpPr txBox="1"/>
      </xdr:nvSpPr>
      <xdr:spPr>
        <a:xfrm>
          <a:off x="573550" y="218494"/>
          <a:ext cx="7906774" cy="3113549"/>
        </a:xfrm>
        <a:prstGeom prst="rect">
          <a:avLst/>
        </a:prstGeom>
        <a:solidFill>
          <a:schemeClr val="lt1"/>
        </a:solidFill>
        <a:ln w="571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How</a:t>
          </a:r>
          <a:r>
            <a:rPr lang="en-US" sz="1100" b="1" baseline="0"/>
            <a:t> to use?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User can change the cells with orange values. Please refer to paper for details. Questions": conatct sohrabi.soheil@gmail.com</a:t>
          </a:r>
          <a:endParaRPr lang="en-US" sz="1100"/>
        </a:p>
        <a:p>
          <a:endParaRPr lang="en-US" sz="1100"/>
        </a:p>
        <a:p>
          <a:r>
            <a:rPr lang="en-US" sz="1100"/>
            <a:t>Logic: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Posterior</a:t>
          </a:r>
          <a:r>
            <a:rPr lang="en-US" sz="1100" baseline="0"/>
            <a:t> </a:t>
          </a:r>
          <a:r>
            <a:rPr lang="en-US" sz="1100"/>
            <a:t>Formula: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1</xdr:col>
      <xdr:colOff>375674</xdr:colOff>
      <xdr:row>5</xdr:row>
      <xdr:rowOff>33866</xdr:rowOff>
    </xdr:from>
    <xdr:to>
      <xdr:col>7</xdr:col>
      <xdr:colOff>1046743</xdr:colOff>
      <xdr:row>11</xdr:row>
      <xdr:rowOff>46566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92C5E9-21A8-C37C-9630-E568A649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2448" y="989780"/>
          <a:ext cx="5655478" cy="1159797"/>
        </a:xfrm>
        <a:prstGeom prst="rect">
          <a:avLst/>
        </a:prstGeom>
      </xdr:spPr>
    </xdr:pic>
    <xdr:clientData/>
  </xdr:twoCellAnchor>
  <xdr:twoCellAnchor editAs="oneCell">
    <xdr:from>
      <xdr:col>1</xdr:col>
      <xdr:colOff>368710</xdr:colOff>
      <xdr:row>11</xdr:row>
      <xdr:rowOff>109246</xdr:rowOff>
    </xdr:from>
    <xdr:to>
      <xdr:col>8</xdr:col>
      <xdr:colOff>304002</xdr:colOff>
      <xdr:row>17</xdr:row>
      <xdr:rowOff>-1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57F281-E0E5-6491-7B92-ED1B0D6D9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5484" y="2212257"/>
          <a:ext cx="6189701" cy="103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V35"/>
  <sheetViews>
    <sheetView tabSelected="1" zoomScale="93" workbookViewId="0">
      <selection activeCell="L19" sqref="L19"/>
    </sheetView>
  </sheetViews>
  <sheetFormatPr baseColWidth="10" defaultColWidth="8.83203125" defaultRowHeight="15" x14ac:dyDescent="0.2"/>
  <cols>
    <col min="1" max="1" width="20.5" customWidth="1"/>
    <col min="2" max="2" width="16.33203125" customWidth="1"/>
    <col min="3" max="3" width="14" customWidth="1"/>
    <col min="8" max="8" width="16.6640625" customWidth="1"/>
    <col min="9" max="9" width="28.5" customWidth="1"/>
    <col min="10" max="10" width="13.83203125" customWidth="1"/>
  </cols>
  <sheetData>
    <row r="21" spans="1:22" x14ac:dyDescent="0.2">
      <c r="I21" s="1" t="s">
        <v>14</v>
      </c>
      <c r="J21" s="18">
        <v>0.05</v>
      </c>
    </row>
    <row r="22" spans="1:22" x14ac:dyDescent="0.2">
      <c r="H22" s="12" t="s">
        <v>26</v>
      </c>
      <c r="I22" s="1" t="s">
        <v>15</v>
      </c>
      <c r="J22" s="18">
        <v>0.82</v>
      </c>
    </row>
    <row r="23" spans="1:22" x14ac:dyDescent="0.2">
      <c r="D23" s="3" t="s">
        <v>24</v>
      </c>
      <c r="E23" s="3"/>
      <c r="F23" s="3"/>
      <c r="G23" s="3"/>
      <c r="H23" s="3"/>
      <c r="I23" s="5" t="s">
        <v>16</v>
      </c>
      <c r="J23" s="18">
        <v>0.05</v>
      </c>
    </row>
    <row r="24" spans="1:22" x14ac:dyDescent="0.2">
      <c r="D24" s="3"/>
      <c r="F24" s="6" t="s">
        <v>23</v>
      </c>
      <c r="G24" s="6"/>
      <c r="L24" s="15" t="s">
        <v>27</v>
      </c>
      <c r="M24" s="16"/>
      <c r="N24" s="16"/>
      <c r="O24" s="16"/>
      <c r="P24" s="16"/>
      <c r="Q24" s="16"/>
      <c r="R24" s="16"/>
      <c r="S24" s="16"/>
      <c r="T24" s="16"/>
      <c r="U24" s="16"/>
      <c r="V24" s="17"/>
    </row>
    <row r="25" spans="1:22" x14ac:dyDescent="0.2">
      <c r="A25" s="2" t="s">
        <v>0</v>
      </c>
      <c r="B25" s="2" t="s">
        <v>1</v>
      </c>
      <c r="C25" s="2" t="s">
        <v>2</v>
      </c>
      <c r="D25" s="4" t="s">
        <v>3</v>
      </c>
      <c r="E25" s="1" t="s">
        <v>17</v>
      </c>
      <c r="F25" s="7" t="s">
        <v>18</v>
      </c>
      <c r="G25" s="8"/>
      <c r="L25" s="13"/>
      <c r="M25" s="14" t="s">
        <v>4</v>
      </c>
      <c r="N25" s="14" t="s">
        <v>5</v>
      </c>
      <c r="O25" s="14" t="s">
        <v>6</v>
      </c>
      <c r="P25" s="14" t="s">
        <v>7</v>
      </c>
      <c r="Q25" s="14" t="s">
        <v>8</v>
      </c>
      <c r="R25" s="14" t="s">
        <v>9</v>
      </c>
      <c r="S25" s="14" t="s">
        <v>10</v>
      </c>
      <c r="T25" s="14" t="s">
        <v>11</v>
      </c>
      <c r="U25" s="14" t="s">
        <v>12</v>
      </c>
      <c r="V25" s="14" t="s">
        <v>13</v>
      </c>
    </row>
    <row r="26" spans="1:22" x14ac:dyDescent="0.2">
      <c r="A26" s="9" t="s">
        <v>4</v>
      </c>
      <c r="B26" s="18">
        <v>500</v>
      </c>
      <c r="C26" s="18">
        <v>18</v>
      </c>
      <c r="D26" s="9">
        <v>0</v>
      </c>
      <c r="E26" s="9">
        <f t="shared" ref="E26:E35" si="0">C26/B26</f>
        <v>3.5999999999999997E-2</v>
      </c>
      <c r="F26" cm="1">
        <f t="array" ref="F26">1/(1+EXP(-(
  (B26/(B26+50)) * (LN(MAX(0.0001, E26)/(1-MIN(0.9999, E26))) - ($J$22*D26)) +
  IFERROR(IF(SUM($M26:$V26)&gt;1, (SUM(INDEX($M26:$V26 * TRANSPOSE(LN(MAX(0.0001, $E$26:$E$35)/(1-MIN(0.9999, $E$26:$E$35)))),)) - LN(MAX(0.0001, E26)/(1-MIN(0.9999, E26)))) / (SUM($M26:$V26) - 1), 0), 0) +
  ((50)/(B26+50)) * LN($J$21/(1-$J$21))
)))</f>
        <v>3.7098363245586415E-2</v>
      </c>
      <c r="I26" s="1" t="s">
        <v>19</v>
      </c>
      <c r="J26" s="9">
        <f>AVERAGE(F26:F35)</f>
        <v>2.5299369209642798E-2</v>
      </c>
      <c r="L26" s="13" t="s">
        <v>4</v>
      </c>
      <c r="M26" s="18">
        <v>1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</row>
    <row r="27" spans="1:22" x14ac:dyDescent="0.2">
      <c r="A27" s="9" t="s">
        <v>5</v>
      </c>
      <c r="B27" s="18">
        <v>500</v>
      </c>
      <c r="C27" s="18">
        <v>17</v>
      </c>
      <c r="D27" s="9">
        <v>0</v>
      </c>
      <c r="E27" s="9">
        <f t="shared" si="0"/>
        <v>3.4000000000000002E-2</v>
      </c>
      <c r="F27" cm="1">
        <f t="array" ref="F27">1/(1+EXP(-(
  (B27/(B27+50)) * (LN(MAX(0.0001, E27)/(1-MIN(0.9999, E27))) - ($J$22*D27)) +
  IFERROR(IF(SUM($M27:$V27)&gt;1, (SUM(INDEX($M27:$V27 * TRANSPOSE(LN(MAX(0.0001, $E$26:$E$35)/(1-MIN(0.9999, $E$26:$E$35)))),)) - LN(MAX(0.0001, E27)/(1-MIN(0.9999, E27)))) / (SUM($M27:$V27) - 1), 0), 0) +
  ((50)/(B27+50)) * LN($J$21/(1-$J$21))
)))</f>
        <v>2.6776653604278982E-2</v>
      </c>
      <c r="H27" s="6" t="s">
        <v>25</v>
      </c>
      <c r="I27" s="1" t="s">
        <v>20</v>
      </c>
      <c r="J27" s="9">
        <f>1-(1-J26)*(1-$J$23)</f>
        <v>7.4034400749160678E-2</v>
      </c>
      <c r="L27" s="13" t="s">
        <v>5</v>
      </c>
      <c r="M27" s="18">
        <v>0</v>
      </c>
      <c r="N27" s="18">
        <v>1</v>
      </c>
      <c r="O27" s="18">
        <v>0</v>
      </c>
      <c r="P27" s="18">
        <v>0.8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</row>
    <row r="28" spans="1:22" x14ac:dyDescent="0.2">
      <c r="A28" s="9" t="s">
        <v>6</v>
      </c>
      <c r="B28" s="18">
        <v>250</v>
      </c>
      <c r="C28" s="18">
        <v>34</v>
      </c>
      <c r="D28" s="9">
        <v>1.5</v>
      </c>
      <c r="E28" s="9">
        <f t="shared" si="0"/>
        <v>0.13600000000000001</v>
      </c>
      <c r="F28" cm="1">
        <f t="array" ref="F28">1/(1+EXP(-(
  (B28/(B28+50)) * (LN(MAX(0.0001, E28)/(1-MIN(0.9999, E28))) - ($J$22*D28)) +
  IFERROR(IF(SUM($M28:$V28)&gt;1, (SUM(INDEX($M28:$V28 * TRANSPOSE(LN(MAX(0.0001, $E$26:$E$35)/(1-MIN(0.9999, $E$26:$E$35)))),)) - LN(MAX(0.0001, E28)/(1-MIN(0.9999, E28)))) / (SUM($M28:$V28) - 1), 0), 0) +
  ((50)/(B28+50)) * LN($J$21/(1-$J$21))
)))</f>
        <v>4.4937474912925754E-2</v>
      </c>
      <c r="I28" s="1" t="s">
        <v>21</v>
      </c>
      <c r="J28" s="10" t="str">
        <f>IF(J27&gt;J21, "REJECT (Unsafe)", "PASS (Safe)")</f>
        <v>REJECT (Unsafe)</v>
      </c>
      <c r="L28" s="13" t="s">
        <v>6</v>
      </c>
      <c r="M28" s="18">
        <v>0</v>
      </c>
      <c r="N28" s="18">
        <v>0</v>
      </c>
      <c r="O28" s="18">
        <v>1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</row>
    <row r="29" spans="1:22" x14ac:dyDescent="0.2">
      <c r="A29" s="9" t="s">
        <v>7</v>
      </c>
      <c r="B29" s="18">
        <v>250</v>
      </c>
      <c r="C29" s="18">
        <v>34</v>
      </c>
      <c r="D29" s="9">
        <v>1.5</v>
      </c>
      <c r="E29" s="9">
        <f t="shared" si="0"/>
        <v>0.13600000000000001</v>
      </c>
      <c r="F29" cm="1">
        <f t="array" ref="F29">1/(1+EXP(-(
  (B29/(B29+50)) * (LN(MAX(0.0001, E29)/(1-MIN(0.9999, E29))) - ($J$22*D29)) +
  IFERROR(IF(SUM($M29:$V29)&gt;1, (SUM(INDEX($M29:$V29 * TRANSPOSE(LN(MAX(0.0001, $E$26:$E$35)/(1-MIN(0.9999, $E$26:$E$35)))),)) - LN(MAX(0.0001, E29)/(1-MIN(0.9999, E29)))) / (SUM($M29:$V29) - 1), 0), 0) +
  ((50)/(B29+50)) * LN($J$21/(1-$J$21))
)))</f>
        <v>5.4227214042123599E-3</v>
      </c>
      <c r="L29" s="13" t="s">
        <v>7</v>
      </c>
      <c r="M29" s="18">
        <v>0</v>
      </c>
      <c r="N29" s="18">
        <v>0.8</v>
      </c>
      <c r="O29" s="18">
        <v>0</v>
      </c>
      <c r="P29" s="18">
        <v>1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</row>
    <row r="30" spans="1:22" x14ac:dyDescent="0.2">
      <c r="A30" s="9" t="s">
        <v>8</v>
      </c>
      <c r="B30" s="18">
        <v>500</v>
      </c>
      <c r="C30" s="18">
        <v>6</v>
      </c>
      <c r="D30" s="9">
        <v>-1</v>
      </c>
      <c r="E30" s="9">
        <f>C30/B30</f>
        <v>1.2E-2</v>
      </c>
      <c r="F30" cm="1">
        <f t="array" ref="F30">1/(1+EXP(-(
  (B30/(B30+50)) * (LN(MAX(0.0001, E30)/(1-MIN(0.9999, E30))) - ($J$22*D30)) +
  IFERROR(IF(SUM($M30:$V30)&gt;1, (SUM(INDEX($M30:$V30 * TRANSPOSE(LN(MAX(0.0001, $E$26:$E$35)/(1-MIN(0.9999, $E$26:$E$35)))),)) - LN(MAX(0.0001, E30)/(1-MIN(0.9999, E30)))) / (SUM($M30:$V30) - 1), 0), 0) +
  ((50)/(B30+50)) * LN($J$21/(1-$J$21))
)))</f>
        <v>2.8414819203786284E-2</v>
      </c>
      <c r="I30" s="1" t="s">
        <v>22</v>
      </c>
      <c r="J30" s="9">
        <f>AVERAGE(E26:E35)</f>
        <v>4.4150000000000009E-2</v>
      </c>
      <c r="L30" s="13" t="s">
        <v>8</v>
      </c>
      <c r="M30" s="18">
        <v>0</v>
      </c>
      <c r="N30" s="18">
        <v>0</v>
      </c>
      <c r="O30" s="18">
        <v>0</v>
      </c>
      <c r="P30" s="18">
        <v>0</v>
      </c>
      <c r="Q30" s="18">
        <v>1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</row>
    <row r="31" spans="1:22" x14ac:dyDescent="0.2">
      <c r="A31" s="9" t="s">
        <v>9</v>
      </c>
      <c r="B31" s="18">
        <v>500</v>
      </c>
      <c r="C31" s="18">
        <v>5</v>
      </c>
      <c r="D31" s="9">
        <v>-1</v>
      </c>
      <c r="E31" s="9">
        <f t="shared" si="0"/>
        <v>0.01</v>
      </c>
      <c r="F31" cm="1">
        <f t="array" ref="F31">1/(1+EXP(-(
  (B31/(B31+50)) * (LN(MAX(0.0001, E31)/(1-MIN(0.9999, E31))) - ($J$22*D31)) +
  IFERROR(IF(SUM($M31:$V31)&gt;1, (SUM(INDEX($M31:$V31 * TRANSPOSE(LN(MAX(0.0001, $E$26:$E$35)/(1-MIN(0.9999, $E$26:$E$35)))),)) - LN(MAX(0.0001, E31)/(1-MIN(0.9999, E31)))) / (SUM($M31:$V31) - 1), 0), 0) +
  ((50)/(B31+50)) * LN($J$21/(1-$J$21))
)))</f>
        <v>2.4136360918451331E-2</v>
      </c>
      <c r="I31" s="1" t="s">
        <v>21</v>
      </c>
      <c r="J31" s="11" t="str">
        <f>IF(J30&gt;J21, "REJECT", "PASS")</f>
        <v>PASS</v>
      </c>
      <c r="L31" s="13" t="s">
        <v>9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1</v>
      </c>
      <c r="S31" s="18">
        <v>0</v>
      </c>
      <c r="T31" s="18">
        <v>0</v>
      </c>
      <c r="U31" s="18">
        <v>0</v>
      </c>
      <c r="V31" s="18">
        <v>0</v>
      </c>
    </row>
    <row r="32" spans="1:22" x14ac:dyDescent="0.2">
      <c r="A32" s="9" t="s">
        <v>10</v>
      </c>
      <c r="B32" s="18">
        <v>400</v>
      </c>
      <c r="C32" s="18">
        <v>8</v>
      </c>
      <c r="D32" s="9">
        <v>0</v>
      </c>
      <c r="E32" s="9">
        <f t="shared" si="0"/>
        <v>0.02</v>
      </c>
      <c r="F32" cm="1">
        <f t="array" ref="F32">1/(1+EXP(-(
  (B32/(B32+50)) * (LN(MAX(0.0001, E32)/(1-MIN(0.9999, E32))) - ($J$22*D32)) +
  IFERROR(IF(SUM($M32:$V32)&gt;1, (SUM(INDEX($M32:$V32 * TRANSPOSE(LN(MAX(0.0001, $E$26:$E$35)/(1-MIN(0.9999, $E$26:$E$35)))),)) - LN(MAX(0.0001, E32)/(1-MIN(0.9999, E32)))) / (SUM($M32:$V32) - 1), 0), 0) +
  ((50)/(B32+50)) * LN($J$21/(1-$J$21))
)))</f>
        <v>2.2170869325228104E-2</v>
      </c>
      <c r="L32" s="13" t="s">
        <v>10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1</v>
      </c>
      <c r="T32" s="18">
        <v>0</v>
      </c>
      <c r="U32" s="18">
        <v>0</v>
      </c>
      <c r="V32" s="18">
        <v>0</v>
      </c>
    </row>
    <row r="33" spans="1:22" x14ac:dyDescent="0.2">
      <c r="A33" s="9" t="s">
        <v>11</v>
      </c>
      <c r="B33" s="18">
        <v>400</v>
      </c>
      <c r="C33" s="18">
        <v>7</v>
      </c>
      <c r="D33" s="9">
        <v>0</v>
      </c>
      <c r="E33" s="9">
        <f t="shared" si="0"/>
        <v>1.7500000000000002E-2</v>
      </c>
      <c r="F33" cm="1">
        <f t="array" ref="F33">1/(1+EXP(-(
  (B33/(B33+50)) * (LN(MAX(0.0001, E33)/(1-MIN(0.9999, E33))) - ($J$22*D33)) +
  IFERROR(IF(SUM($M33:$V33)&gt;1, (SUM(INDEX($M33:$V33 * TRANSPOSE(LN(MAX(0.0001, $E$26:$E$35)/(1-MIN(0.9999, $E$26:$E$35)))),)) - LN(MAX(0.0001, E33)/(1-MIN(0.9999, E33)))) / (SUM($M33:$V33) - 1), 0), 0) +
  ((50)/(B33+50)) * LN($J$21/(1-$J$21))
)))</f>
        <v>1.9694690831502552E-2</v>
      </c>
      <c r="L33" s="13" t="s">
        <v>11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1</v>
      </c>
      <c r="U33" s="18">
        <v>0</v>
      </c>
      <c r="V33" s="18">
        <v>0</v>
      </c>
    </row>
    <row r="34" spans="1:22" x14ac:dyDescent="0.2">
      <c r="A34" s="9" t="s">
        <v>12</v>
      </c>
      <c r="B34" s="18">
        <v>400</v>
      </c>
      <c r="C34" s="18">
        <v>8</v>
      </c>
      <c r="D34" s="9">
        <v>0</v>
      </c>
      <c r="E34" s="9">
        <f t="shared" si="0"/>
        <v>0.02</v>
      </c>
      <c r="F34" cm="1">
        <f t="array" ref="F34">1/(1+EXP(-(
  (B34/(B34+50)) * (LN(MAX(0.0001, E34)/(1-MIN(0.9999, E34))) - ($J$22*D34)) +
  IFERROR(IF(SUM($M34:$V34)&gt;1, (SUM(INDEX($M34:$V34 * TRANSPOSE(LN(MAX(0.0001, $E$26:$E$35)/(1-MIN(0.9999, $E$26:$E$35)))),)) - LN(MAX(0.0001, E34)/(1-MIN(0.9999, E34)))) / (SUM($M34:$V34) - 1), 0), 0) +
  ((50)/(B34+50)) * LN($J$21/(1-$J$21))
)))</f>
        <v>2.2170869325228104E-2</v>
      </c>
      <c r="L34" s="13" t="s">
        <v>12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1</v>
      </c>
      <c r="V34" s="18">
        <v>0</v>
      </c>
    </row>
    <row r="35" spans="1:22" x14ac:dyDescent="0.2">
      <c r="A35" s="9" t="s">
        <v>13</v>
      </c>
      <c r="B35" s="18">
        <v>400</v>
      </c>
      <c r="C35" s="18">
        <v>8</v>
      </c>
      <c r="D35" s="9">
        <v>0</v>
      </c>
      <c r="E35" s="9">
        <f t="shared" si="0"/>
        <v>0.02</v>
      </c>
      <c r="F35" cm="1">
        <f t="array" ref="F35">1/(1+EXP(-(
  (B35/(B35+50)) * (LN(MAX(0.0001, E35)/(1-MIN(0.9999, E35))) - ($J$22*D35)) +
  IFERROR(IF(SUM($M35:$V35)&gt;1, (SUM(INDEX($M35:$V35 * TRANSPOSE(LN(MAX(0.0001, $E$26:$E$35)/(1-MIN(0.9999, $E$26:$E$35)))),)) - LN(MAX(0.0001, E35)/(1-MIN(0.9999, E35)))) / (SUM($M35:$V35) - 1), 0), 0) +
  ((50)/(B35+50)) * LN($J$21/(1-$J$21))
)))</f>
        <v>2.2170869325228104E-2</v>
      </c>
      <c r="L35" s="13" t="s">
        <v>13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1</v>
      </c>
    </row>
  </sheetData>
  <mergeCells count="1">
    <mergeCell ref="L24:V24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Soheil Sohrabi</cp:lastModifiedBy>
  <dcterms:created xsi:type="dcterms:W3CDTF">2026-02-07T04:02:39Z</dcterms:created>
  <dcterms:modified xsi:type="dcterms:W3CDTF">2026-02-08T18:13:39Z</dcterms:modified>
</cp:coreProperties>
</file>