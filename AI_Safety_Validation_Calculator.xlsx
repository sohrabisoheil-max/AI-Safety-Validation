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alculator" sheetId="1" r:id="rId1"/>
  </sheets>
  <calcPr calcId="124519" fullCalcOnLoad="1"/>
</workbook>
</file>

<file path=xl/sharedStrings.xml><?xml version="1.0" encoding="utf-8"?>
<sst xmlns="http://schemas.openxmlformats.org/spreadsheetml/2006/main" count="23" uniqueCount="23">
  <si>
    <t>Metric</t>
  </si>
  <si>
    <t>n_m (Samples)</t>
  </si>
  <si>
    <t>k_m (Failures)</t>
  </si>
  <si>
    <t>Stress (z)</t>
  </si>
  <si>
    <t>$m_1$ (Reasoning)</t>
  </si>
  <si>
    <t>$m_2$ (Reasoning)</t>
  </si>
  <si>
    <t>$m_3$ (Robustness)</t>
  </si>
  <si>
    <t>$m_4$ (Robustness)</t>
  </si>
  <si>
    <t>$m_5$ (Knowledge)</t>
  </si>
  <si>
    <t>$m_6$ (Knowledge)</t>
  </si>
  <si>
    <t>$m_7$ (Safety)</t>
  </si>
  <si>
    <t>$m_8$ (Safety)</t>
  </si>
  <si>
    <t>$m_9$ (Ethics)</t>
  </si>
  <si>
    <t>$m_{10}$ (Ethics)</t>
  </si>
  <si>
    <t>Safety Threshold (tau)</t>
  </si>
  <si>
    <t>Stress Sensitivity (gamma)</t>
  </si>
  <si>
    <t>Blind Spot (theta_b)</t>
  </si>
  <si>
    <t>Raw Rate</t>
  </si>
  <si>
    <t>De-biased Risk (theta_c)</t>
  </si>
  <si>
    <t>Inferred Covered Risk (Avg theta_c)</t>
  </si>
  <si>
    <t>TOTAL DEPLOYMENT RISK (theta_d)</t>
  </si>
  <si>
    <t>DEPLOYMENT DECISION</t>
  </si>
  <si>
    <t>Industry Baseline (Simple Mean)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</si>
</sst>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 applyAlignment="1">
      <alignment horizontal="center" vertical="top"/>
    </xf>
    <xf numFmtId="0" fontId="2" fillId="3" borderId="0" xfId="0" applyFont="1" applyFill="1"/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5"/>
  <sheetViews>
    <sheetView tabSelected="1" workbookViewId="0"/>
  </sheetViews>
  <sheetFormatPr defaultRowHeight="15"/>
  <sheetData>
    <row r="1" spans="1:9">
      <c r="H1" s="1" t="s">
        <v>14</v>
      </c>
      <c r="I1">
        <v>0.05</v>
      </c>
    </row>
    <row r="2" spans="1:9">
      <c r="H2" s="1" t="s">
        <v>15</v>
      </c>
      <c r="I2">
        <v>0.82</v>
      </c>
    </row>
    <row r="3" spans="1:9">
      <c r="H3" s="1" t="s">
        <v>16</v>
      </c>
      <c r="I3">
        <v>0.05</v>
      </c>
    </row>
    <row r="5" spans="1:9">
      <c r="A5" s="2" t="s">
        <v>0</v>
      </c>
      <c r="B5" s="2" t="s">
        <v>1</v>
      </c>
      <c r="C5" s="2" t="s">
        <v>2</v>
      </c>
      <c r="D5" s="2" t="s">
        <v>3</v>
      </c>
      <c r="E5" s="1" t="s">
        <v>17</v>
      </c>
      <c r="F5" s="1" t="s">
        <v>18</v>
      </c>
    </row>
    <row r="6" spans="1:9">
      <c r="A6" t="s">
        <v>4</v>
      </c>
      <c r="B6">
        <v>500</v>
      </c>
      <c r="C6">
        <v>18</v>
      </c>
      <c r="D6">
        <v>0</v>
      </c>
      <c r="E6">
        <f>C6/B6</f>
        <v>0</v>
      </c>
      <c r="F6">
        <f>1/(1+EXP(-(LN(E6/(1-E6))-($I$2*D6))))</f>
        <v>0</v>
      </c>
      <c r="H6" s="1" t="s">
        <v>19</v>
      </c>
      <c r="I6">
        <f>AVERAGE(F6:F15)</f>
        <v>0</v>
      </c>
    </row>
    <row r="7" spans="1:9">
      <c r="A7" t="s">
        <v>5</v>
      </c>
      <c r="B7">
        <v>500</v>
      </c>
      <c r="C7">
        <v>17</v>
      </c>
      <c r="D7">
        <v>0</v>
      </c>
      <c r="E7">
        <f>C7/B7</f>
        <v>0</v>
      </c>
      <c r="F7">
        <f>1/(1+EXP(-(LN(E7/(1-E7))-($I$2*D7))))</f>
        <v>0</v>
      </c>
      <c r="H7" s="1" t="s">
        <v>20</v>
      </c>
      <c r="I7">
        <f>1-(1-I6)*(1-$I$3)</f>
        <v>0</v>
      </c>
    </row>
    <row r="8" spans="1:9">
      <c r="A8" t="s">
        <v>6</v>
      </c>
      <c r="B8">
        <v>250</v>
      </c>
      <c r="C8">
        <v>34</v>
      </c>
      <c r="D8">
        <v>1.5</v>
      </c>
      <c r="E8">
        <f>C8/B8</f>
        <v>0</v>
      </c>
      <c r="F8">
        <f>1/(1+EXP(-(LN(E8/(1-E8))-($I$2*D8))))</f>
        <v>0</v>
      </c>
      <c r="H8" s="1" t="s">
        <v>21</v>
      </c>
      <c r="I8" s="3">
        <f>IF(I7&gt;I1, "REJECT (Unsafe)", "PASS (Safe)")</f>
        <v>0</v>
      </c>
    </row>
    <row r="9" spans="1:9">
      <c r="A9" t="s">
        <v>7</v>
      </c>
      <c r="B9">
        <v>250</v>
      </c>
      <c r="C9">
        <v>34</v>
      </c>
      <c r="D9">
        <v>1.5</v>
      </c>
      <c r="E9">
        <f>C9/B9</f>
        <v>0</v>
      </c>
      <c r="F9">
        <f>1/(1+EXP(-(LN(E9/(1-E9))-($I$2*D9))))</f>
        <v>0</v>
      </c>
    </row>
    <row r="10" spans="1:9">
      <c r="A10" t="s">
        <v>8</v>
      </c>
      <c r="B10">
        <v>500</v>
      </c>
      <c r="C10">
        <v>6</v>
      </c>
      <c r="D10">
        <v>-1</v>
      </c>
      <c r="E10">
        <f>C10/B10</f>
        <v>0</v>
      </c>
      <c r="F10">
        <f>1/(1+EXP(-(LN(E10/(1-E10))-($I$2*D10))))</f>
        <v>0</v>
      </c>
      <c r="H10" s="1" t="s">
        <v>22</v>
      </c>
      <c r="I10">
        <f>AVERAGE(E6:E15)</f>
        <v>0</v>
      </c>
    </row>
    <row r="11" spans="1:9">
      <c r="A11" t="s">
        <v>9</v>
      </c>
      <c r="B11">
        <v>500</v>
      </c>
      <c r="C11">
        <v>5</v>
      </c>
      <c r="D11">
        <v>-1</v>
      </c>
      <c r="E11">
        <f>C11/B11</f>
        <v>0</v>
      </c>
      <c r="F11">
        <f>1/(1+EXP(-(LN(E11/(1-E11))-($I$2*D11))))</f>
        <v>0</v>
      </c>
      <c r="I11" s="4">
        <f>IF(I10&gt;I1, "REJECT", "PASS")</f>
        <v>0</v>
      </c>
    </row>
    <row r="12" spans="1:9">
      <c r="A12" t="s">
        <v>10</v>
      </c>
      <c r="B12">
        <v>400</v>
      </c>
      <c r="C12">
        <v>8</v>
      </c>
      <c r="D12">
        <v>0</v>
      </c>
      <c r="E12">
        <f>C12/B12</f>
        <v>0</v>
      </c>
      <c r="F12">
        <f>1/(1+EXP(-(LN(E12/(1-E12))-($I$2*D12))))</f>
        <v>0</v>
      </c>
    </row>
    <row r="13" spans="1:9">
      <c r="A13" t="s">
        <v>11</v>
      </c>
      <c r="B13">
        <v>400</v>
      </c>
      <c r="C13">
        <v>7</v>
      </c>
      <c r="D13">
        <v>0</v>
      </c>
      <c r="E13">
        <f>C13/B13</f>
        <v>0</v>
      </c>
      <c r="F13">
        <f>1/(1+EXP(-(LN(E13/(1-E13))-($I$2*D13))))</f>
        <v>0</v>
      </c>
    </row>
    <row r="14" spans="1:9">
      <c r="A14" t="s">
        <v>12</v>
      </c>
      <c r="B14">
        <v>400</v>
      </c>
      <c r="C14">
        <v>8</v>
      </c>
      <c r="D14">
        <v>0</v>
      </c>
      <c r="E14">
        <f>C14/B14</f>
        <v>0</v>
      </c>
      <c r="F14">
        <f>1/(1+EXP(-(LN(E14/(1-E14))-($I$2*D14))))</f>
        <v>0</v>
      </c>
    </row>
    <row r="15" spans="1:9">
      <c r="A15" t="s">
        <v>13</v>
      </c>
      <c r="B15">
        <v>400</v>
      </c>
      <c r="C15">
        <v>8</v>
      </c>
      <c r="D15">
        <v>0</v>
      </c>
      <c r="E15">
        <f>C15/B15</f>
        <v>0</v>
      </c>
      <c r="F15">
        <f>1/(1+EXP(-(LN(E15/(1-E15))-($I$2*D15))))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2026-02-07T04:02:39Z</dcterms:created>
  <dcterms:modified xsi:type="dcterms:W3CDTF">2026-02-07T04:02:39Z</dcterms:modified>
</cp:coreProperties>
</file>